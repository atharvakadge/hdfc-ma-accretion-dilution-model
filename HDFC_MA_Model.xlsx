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185F426-C77C-4622-AE72-B52DD8996627}" xr6:coauthVersionLast="47" xr6:coauthVersionMax="47" xr10:uidLastSave="{00000000-0000-0000-0000-000000000000}"/>
  <bookViews>
    <workbookView xWindow="-108" yWindow="-108" windowWidth="23256" windowHeight="12456" xr2:uid="{75139625-2FBB-4165-8F8C-566FEB71E701}"/>
  </bookViews>
  <sheets>
    <sheet name="Merger Model" sheetId="1" r:id="rId1"/>
    <sheet name="Target(HDFC Ltd.)" sheetId="2" r:id="rId2"/>
    <sheet name="Acquirer(HDFC Bank)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17" i="1"/>
  <c r="B12" i="1"/>
  <c r="B11" i="1"/>
  <c r="B7" i="1"/>
  <c r="B6" i="1"/>
  <c r="B5" i="1"/>
  <c r="B4" i="1"/>
  <c r="B5" i="2"/>
  <c r="B5" i="3"/>
  <c r="B18" i="1" l="1"/>
  <c r="B7" i="2"/>
  <c r="B7" i="3"/>
  <c r="B21" i="1" l="1"/>
  <c r="B22" i="1"/>
</calcChain>
</file>

<file path=xl/sharedStrings.xml><?xml version="1.0" encoding="utf-8"?>
<sst xmlns="http://schemas.openxmlformats.org/spreadsheetml/2006/main" count="30" uniqueCount="25">
  <si>
    <t>HDFC BANK- STANDALONE (Pre Merger)</t>
  </si>
  <si>
    <t>Shares Outstanding (Cr)</t>
  </si>
  <si>
    <t>P/E Ratio</t>
  </si>
  <si>
    <t>Net Income (₹ Cr)</t>
  </si>
  <si>
    <t>EPS (₹)</t>
  </si>
  <si>
    <t>Share Price (₹)</t>
  </si>
  <si>
    <t>HDFC LTD. - STANDALONE (Pre Merger)</t>
  </si>
  <si>
    <t>HDFC MERGER — ACCRETION / DILUTION</t>
  </si>
  <si>
    <t>STANDALONE</t>
  </si>
  <si>
    <t>HDFC Bank Net Income (₹ Cr)</t>
  </si>
  <si>
    <t>HDFC Ltd Net Income (₹ Cr)</t>
  </si>
  <si>
    <t>HDFC Bank Shares (Cr)</t>
  </si>
  <si>
    <t>HDFC Bank EPS (Standalone)</t>
  </si>
  <si>
    <t>DEAL TERMS</t>
  </si>
  <si>
    <t>Swap Ratio (HDFC Bank per HDFC Ltd share)</t>
  </si>
  <si>
    <t>HDFC Ltd Shares (Cr)</t>
  </si>
  <si>
    <t>New Shares Issued (Cr)</t>
  </si>
  <si>
    <t>Synergies (₹ Cr)</t>
  </si>
  <si>
    <t>COMBINED (Pro-Forma)</t>
  </si>
  <si>
    <t>Combined Net Income (₹ Cr)</t>
  </si>
  <si>
    <t>Combined Shares (Cr)</t>
  </si>
  <si>
    <t>Combined EPS (₹)</t>
  </si>
  <si>
    <t>RESULT</t>
  </si>
  <si>
    <t>Accretion / (Dilution) ₹</t>
  </si>
  <si>
    <t>Accretion / (Dilution)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</si>
</sst>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&quot;x&quot;"/>
    <numFmt numFmtId="165" formatCode="&quot;₹&quot;#,##0.00;\(&quot;₹&quot;#,##0.00\);&quot;-&quot;"/>
    <numFmt numFmtId="166" formatCode="#,##0.00;\(#,##0.00\);&quot;-&quot;"/>
    <numFmt numFmtId="167" formatCode="0.000"/>
    <numFmt numFmtId="168" formatCode="0.0%;\(0.0%\);&quot;-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0" fillId="2" borderId="0" xfId="0" applyFill="1"/>
    <xf numFmtId="165" fontId="3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2" borderId="0" xfId="0" applyFont="1" applyFill="1"/>
    <xf numFmtId="0" fontId="1" fillId="3" borderId="0" xfId="0" applyFont="1" applyFill="1"/>
    <xf numFmtId="0" fontId="0" fillId="3" borderId="0" xfId="0" applyFill="1"/>
    <xf numFmtId="167" fontId="3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1" fillId="0" borderId="1" xfId="0" applyFont="1" applyBorder="1"/>
    <xf numFmtId="165" fontId="6" fillId="0" borderId="1" xfId="0" applyNumberFormat="1" applyFont="1" applyBorder="1" applyAlignment="1">
      <alignment horizontal="right"/>
    </xf>
    <xf numFmtId="0" fontId="1" fillId="0" borderId="2" xfId="0" applyFont="1" applyBorder="1"/>
    <xf numFmtId="168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D489E6-164A-4967-B26A-A5F4D9C162E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37c2186-18ea-4c78-ba71-9c35013dbd8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A811-3EAA-4F0D-BFC3-51BBC7567E60}">
  <dimension ref="A1:B22"/>
  <sheetViews>
    <sheetView tabSelected="1" workbookViewId="0">
      <selection activeCell="B14" sqref="B14"/>
    </sheetView>
  </sheetViews>
  <sheetFormatPr defaultRowHeight="14.4" x14ac:dyDescent="0.3"/>
  <cols>
    <col min="1" max="1" width="46.33203125" customWidth="1"/>
    <col min="2" max="2" width="22.21875" customWidth="1"/>
  </cols>
  <sheetData>
    <row r="1" spans="1:2" ht="17.399999999999999" x14ac:dyDescent="0.35">
      <c r="A1" s="10" t="s">
        <v>7</v>
      </c>
      <c r="B1" s="2"/>
    </row>
    <row r="3" spans="1:2" x14ac:dyDescent="0.3">
      <c r="A3" s="11" t="s">
        <v>8</v>
      </c>
      <c r="B3" s="12"/>
    </row>
    <row r="4" spans="1:2" x14ac:dyDescent="0.3">
      <c r="A4" t="s">
        <v>9</v>
      </c>
      <c r="B4" s="3">
        <f>'Acquirer(HDFC Bank)'!B3</f>
        <v>45997</v>
      </c>
    </row>
    <row r="5" spans="1:2" x14ac:dyDescent="0.3">
      <c r="A5" t="s">
        <v>10</v>
      </c>
      <c r="B5" s="3">
        <f>'Target(HDFC Ltd.)'!B3</f>
        <v>26161</v>
      </c>
    </row>
    <row r="6" spans="1:2" x14ac:dyDescent="0.3">
      <c r="A6" t="s">
        <v>11</v>
      </c>
      <c r="B6" s="5">
        <f>'Acquirer(HDFC Bank)'!B4</f>
        <v>558</v>
      </c>
    </row>
    <row r="7" spans="1:2" x14ac:dyDescent="0.3">
      <c r="A7" t="s">
        <v>12</v>
      </c>
      <c r="B7" s="4">
        <f>B4/B6</f>
        <v>82.431899641577061</v>
      </c>
    </row>
    <row r="9" spans="1:2" x14ac:dyDescent="0.3">
      <c r="A9" s="11" t="s">
        <v>13</v>
      </c>
      <c r="B9" s="12"/>
    </row>
    <row r="10" spans="1:2" x14ac:dyDescent="0.3">
      <c r="A10" t="s">
        <v>14</v>
      </c>
      <c r="B10" s="13">
        <v>1.68</v>
      </c>
    </row>
    <row r="11" spans="1:2" x14ac:dyDescent="0.3">
      <c r="A11" t="s">
        <v>15</v>
      </c>
      <c r="B11" s="5">
        <f>'Target(HDFC Ltd.)'!B4</f>
        <v>185</v>
      </c>
    </row>
    <row r="12" spans="1:2" x14ac:dyDescent="0.3">
      <c r="A12" t="s">
        <v>16</v>
      </c>
      <c r="B12" s="14">
        <f>B10*B11</f>
        <v>310.8</v>
      </c>
    </row>
    <row r="13" spans="1:2" x14ac:dyDescent="0.3">
      <c r="A13" t="s">
        <v>17</v>
      </c>
      <c r="B13" s="3">
        <v>0</v>
      </c>
    </row>
    <row r="15" spans="1:2" x14ac:dyDescent="0.3">
      <c r="A15" s="11" t="s">
        <v>18</v>
      </c>
      <c r="B15" s="12"/>
    </row>
    <row r="16" spans="1:2" x14ac:dyDescent="0.3">
      <c r="A16" t="s">
        <v>19</v>
      </c>
      <c r="B16" s="4">
        <f>B4+B5+B13</f>
        <v>72158</v>
      </c>
    </row>
    <row r="17" spans="1:2" x14ac:dyDescent="0.3">
      <c r="A17" t="s">
        <v>20</v>
      </c>
      <c r="B17" s="14">
        <f>B6+B12</f>
        <v>868.8</v>
      </c>
    </row>
    <row r="18" spans="1:2" x14ac:dyDescent="0.3">
      <c r="A18" t="s">
        <v>21</v>
      </c>
      <c r="B18" s="4">
        <f>B16/B17</f>
        <v>83.054788213628001</v>
      </c>
    </row>
    <row r="20" spans="1:2" x14ac:dyDescent="0.3">
      <c r="A20" s="11" t="s">
        <v>22</v>
      </c>
      <c r="B20" s="12"/>
    </row>
    <row r="21" spans="1:2" x14ac:dyDescent="0.3">
      <c r="A21" s="15" t="s">
        <v>23</v>
      </c>
      <c r="B21" s="16">
        <f>B18-B7</f>
        <v>0.62288857205093962</v>
      </c>
    </row>
    <row r="22" spans="1:2" x14ac:dyDescent="0.3">
      <c r="A22" s="17" t="s">
        <v>24</v>
      </c>
      <c r="B22" s="18">
        <f>(B18-B7)/B7</f>
        <v>7.5564020089228497E-3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941D5-D148-4283-AEF2-58F210690D5B}">
  <dimension ref="A1:B7"/>
  <sheetViews>
    <sheetView workbookViewId="0">
      <selection activeCell="B7" sqref="B7"/>
    </sheetView>
  </sheetViews>
  <sheetFormatPr defaultRowHeight="14.4" x14ac:dyDescent="0.3"/>
  <cols>
    <col min="1" max="2" width="37" customWidth="1"/>
  </cols>
  <sheetData>
    <row r="1" spans="1:2" ht="15.6" x14ac:dyDescent="0.3">
      <c r="A1" s="1" t="s">
        <v>6</v>
      </c>
      <c r="B1" s="2"/>
    </row>
    <row r="3" spans="1:2" x14ac:dyDescent="0.3">
      <c r="A3" t="s">
        <v>3</v>
      </c>
      <c r="B3" s="6">
        <v>26161</v>
      </c>
    </row>
    <row r="4" spans="1:2" x14ac:dyDescent="0.3">
      <c r="A4" t="s">
        <v>1</v>
      </c>
      <c r="B4" s="7">
        <v>185</v>
      </c>
    </row>
    <row r="5" spans="1:2" x14ac:dyDescent="0.3">
      <c r="A5" t="s">
        <v>4</v>
      </c>
      <c r="B5" s="8">
        <f>B3/B4</f>
        <v>141.4108108108108</v>
      </c>
    </row>
    <row r="6" spans="1:2" x14ac:dyDescent="0.3">
      <c r="A6" t="s">
        <v>5</v>
      </c>
      <c r="B6" s="6">
        <v>2862</v>
      </c>
    </row>
    <row r="7" spans="1:2" x14ac:dyDescent="0.3">
      <c r="A7" t="s">
        <v>2</v>
      </c>
      <c r="B7" s="9">
        <f>B6/B5</f>
        <v>20.23890524062536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01D43-A0A0-43A6-B691-C79A7B055152}">
  <dimension ref="A1:B7"/>
  <sheetViews>
    <sheetView workbookViewId="0">
      <selection activeCell="B4" sqref="B4"/>
    </sheetView>
  </sheetViews>
  <sheetFormatPr defaultRowHeight="14.4" x14ac:dyDescent="0.3"/>
  <cols>
    <col min="1" max="2" width="37" customWidth="1"/>
  </cols>
  <sheetData>
    <row r="1" spans="1:2" ht="15.6" x14ac:dyDescent="0.3">
      <c r="A1" s="1" t="s">
        <v>0</v>
      </c>
      <c r="B1" s="2"/>
    </row>
    <row r="3" spans="1:2" x14ac:dyDescent="0.3">
      <c r="A3" t="s">
        <v>3</v>
      </c>
      <c r="B3" s="6">
        <v>45997</v>
      </c>
    </row>
    <row r="4" spans="1:2" x14ac:dyDescent="0.3">
      <c r="A4" t="s">
        <v>1</v>
      </c>
      <c r="B4" s="7">
        <v>558</v>
      </c>
    </row>
    <row r="5" spans="1:2" x14ac:dyDescent="0.3">
      <c r="A5" t="s">
        <v>4</v>
      </c>
      <c r="B5" s="8">
        <f>B3/B4</f>
        <v>82.431899641577061</v>
      </c>
    </row>
    <row r="6" spans="1:2" x14ac:dyDescent="0.3">
      <c r="A6" t="s">
        <v>5</v>
      </c>
      <c r="B6" s="6">
        <v>1610</v>
      </c>
    </row>
    <row r="7" spans="1:2" x14ac:dyDescent="0.3">
      <c r="A7" t="s">
        <v>2</v>
      </c>
      <c r="B7" s="9">
        <f>B6/B5</f>
        <v>19.531273778724699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Merger Model</vt:lpstr>
      <vt:lpstr>Target(HDFC Ltd.)</vt:lpstr>
      <vt:lpstr>Acquirer(HDFC Bank)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KADGE</dc:creator>
  <cp:lastModifiedBy>ATHARVA KADGE</cp:lastModifiedBy>
  <dcterms:created xsi:type="dcterms:W3CDTF">2026-06-17T14:07:12Z</dcterms:created>
  <dcterms:modified xsi:type="dcterms:W3CDTF">2026-06-18T18:26:07Z</dcterms:modified>
</cp:coreProperties>
</file>